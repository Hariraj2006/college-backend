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A2EBB99D-983E-4BF4-9FFD-72FB9022DF3C}" xr6:coauthVersionLast="47" xr6:coauthVersionMax="47" xr10:uidLastSave="{00000000-0000-0000-0000-000000000000}"/>
  <bookViews>
    <workbookView xWindow="-108" yWindow="-108" windowWidth="23256" windowHeight="12456" xr2:uid="{8ACF54A2-A1E4-4DAF-9639-C5D94792D35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2" l="1"/>
  <c r="F21" i="2"/>
  <c r="G21" i="2"/>
  <c r="H21" i="2"/>
  <c r="I21" i="2"/>
  <c r="E10" i="2"/>
  <c r="F10" i="2"/>
  <c r="G10" i="2"/>
  <c r="H10" i="2"/>
  <c r="I10" i="2"/>
  <c r="J10" i="2"/>
  <c r="D10" i="2"/>
  <c r="D16" i="2"/>
  <c r="D17" i="2"/>
  <c r="D18" i="2"/>
  <c r="D19" i="2"/>
  <c r="D20" i="2"/>
  <c r="D15" i="2"/>
  <c r="M5" i="1"/>
  <c r="M6" i="1"/>
  <c r="M7" i="1"/>
  <c r="M8" i="1"/>
  <c r="M9" i="1"/>
  <c r="M4" i="1"/>
  <c r="K10" i="1"/>
  <c r="H10" i="1"/>
  <c r="L10" i="1"/>
  <c r="E13" i="1"/>
  <c r="G10" i="1"/>
  <c r="F10" i="1"/>
  <c r="E10" i="1"/>
  <c r="C10" i="1"/>
  <c r="I10" i="1"/>
  <c r="J10" i="1"/>
  <c r="D10" i="1"/>
  <c r="M10" i="1" s="1"/>
  <c r="D21" i="2" l="1"/>
</calcChain>
</file>

<file path=xl/sharedStrings.xml><?xml version="1.0" encoding="utf-8"?>
<sst xmlns="http://schemas.openxmlformats.org/spreadsheetml/2006/main" count="54" uniqueCount="31">
  <si>
    <t>S:NO</t>
  </si>
  <si>
    <t>BOOTH NO:</t>
  </si>
  <si>
    <t>ADMK</t>
  </si>
  <si>
    <t>DMK</t>
  </si>
  <si>
    <t>NTK</t>
  </si>
  <si>
    <t>DELETED</t>
  </si>
  <si>
    <t>NEUTRAL</t>
  </si>
  <si>
    <t>OUT OF TOWN</t>
  </si>
  <si>
    <t>DEATH</t>
  </si>
  <si>
    <t>DOUBLE ENTRY</t>
  </si>
  <si>
    <t>TOTAL</t>
  </si>
  <si>
    <t>TOTAL BOOTH :06</t>
  </si>
  <si>
    <t>TVK</t>
  </si>
  <si>
    <t>BOOTH TOTAL NO:</t>
  </si>
  <si>
    <t>78A WARD</t>
  </si>
  <si>
    <t xml:space="preserve">78 A WARD </t>
  </si>
  <si>
    <t>TOTAL BOOTH NO :06</t>
  </si>
  <si>
    <t>SECRETARY        R.VIMAL KUMAR - 9363251000</t>
  </si>
  <si>
    <t xml:space="preserve">SECRETARY       </t>
  </si>
  <si>
    <t xml:space="preserve"> R.VIMAL KUMAR - 9363251000</t>
  </si>
  <si>
    <t>S NO:</t>
  </si>
  <si>
    <t>TOTAL VOTERS</t>
  </si>
  <si>
    <t>TOTAL POLLING</t>
  </si>
  <si>
    <t>BJP</t>
  </si>
  <si>
    <t>NOTA</t>
  </si>
  <si>
    <t>OTHERS</t>
  </si>
  <si>
    <t>2024 PARLIAMENT</t>
  </si>
  <si>
    <t>78 A WARD</t>
  </si>
  <si>
    <t>MLA 2026</t>
  </si>
  <si>
    <t>SHIFTED</t>
  </si>
  <si>
    <t>2021 MLA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</si>
</sst>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E116-6035-4767-BF06-306589672BE9}">
  <dimension ref="A1:O24"/>
  <sheetViews>
    <sheetView tabSelected="1" zoomScale="79" workbookViewId="0">
      <selection activeCell="K25" sqref="K25"/>
    </sheetView>
  </sheetViews>
  <sheetFormatPr defaultRowHeight="13.8" x14ac:dyDescent="0.25"/>
  <cols>
    <col min="1" max="1" width="11" style="3" customWidth="1"/>
    <col min="2" max="2" width="13.109375" style="3" customWidth="1"/>
    <col min="3" max="3" width="17" style="3" customWidth="1"/>
    <col min="4" max="4" width="13.33203125" style="3" bestFit="1" customWidth="1"/>
    <col min="5" max="5" width="8.5546875" style="3" customWidth="1"/>
    <col min="6" max="6" width="8.33203125" style="3" customWidth="1"/>
    <col min="7" max="7" width="10.5546875" style="3" bestFit="1" customWidth="1"/>
    <col min="8" max="8" width="15.21875" style="3" bestFit="1" customWidth="1"/>
    <col min="9" max="9" width="10.109375" style="3" bestFit="1" customWidth="1"/>
    <col min="10" max="10" width="10.5546875" style="3" bestFit="1" customWidth="1"/>
    <col min="11" max="11" width="10.44140625" style="3" customWidth="1"/>
    <col min="12" max="12" width="16.109375" style="3" customWidth="1"/>
    <col min="13" max="13" width="7.44140625" style="3" customWidth="1"/>
    <col min="14" max="14" width="11.77734375" style="3" bestFit="1" customWidth="1"/>
    <col min="15" max="15" width="7.77734375" style="3" bestFit="1" customWidth="1"/>
    <col min="16" max="16384" width="8.88671875" style="3"/>
  </cols>
  <sheetData>
    <row r="1" spans="1:15" ht="19.2" customHeight="1" x14ac:dyDescent="0.25">
      <c r="A1" s="1" t="s">
        <v>14</v>
      </c>
      <c r="B1" s="1"/>
      <c r="C1" s="1"/>
      <c r="D1" s="1" t="s">
        <v>11</v>
      </c>
      <c r="E1" s="1"/>
      <c r="F1" s="9" t="s">
        <v>17</v>
      </c>
      <c r="G1" s="10"/>
      <c r="H1" s="10"/>
      <c r="I1" s="10"/>
      <c r="J1" s="11"/>
      <c r="K1" s="12" t="s">
        <v>28</v>
      </c>
      <c r="L1" s="13"/>
      <c r="M1" s="13"/>
    </row>
    <row r="2" spans="1:15" ht="4.2" hidden="1" customHeight="1" x14ac:dyDescent="0.25">
      <c r="A2" s="1"/>
      <c r="B2" s="1"/>
      <c r="C2" s="1"/>
      <c r="D2" s="1"/>
      <c r="E2" s="1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12</v>
      </c>
      <c r="F3" s="6" t="s">
        <v>4</v>
      </c>
      <c r="G3" s="6" t="s">
        <v>6</v>
      </c>
      <c r="H3" s="6" t="s">
        <v>7</v>
      </c>
      <c r="I3" s="6" t="s">
        <v>8</v>
      </c>
      <c r="J3" s="6" t="s">
        <v>29</v>
      </c>
      <c r="K3" s="6" t="s">
        <v>5</v>
      </c>
      <c r="L3" s="6" t="s">
        <v>9</v>
      </c>
      <c r="M3" s="6" t="s">
        <v>10</v>
      </c>
    </row>
    <row r="4" spans="1:15" s="15" customFormat="1" ht="15.6" x14ac:dyDescent="0.3">
      <c r="A4" s="20">
        <v>1</v>
      </c>
      <c r="B4" s="20">
        <v>150</v>
      </c>
      <c r="C4" s="20">
        <v>456</v>
      </c>
      <c r="D4" s="20">
        <v>102</v>
      </c>
      <c r="E4" s="20">
        <v>47</v>
      </c>
      <c r="F4" s="20">
        <v>0</v>
      </c>
      <c r="G4" s="20">
        <v>117</v>
      </c>
      <c r="H4" s="20">
        <v>0</v>
      </c>
      <c r="I4" s="20">
        <v>0</v>
      </c>
      <c r="J4" s="20">
        <v>0</v>
      </c>
      <c r="K4" s="20">
        <v>5</v>
      </c>
      <c r="L4" s="20">
        <v>0</v>
      </c>
      <c r="M4" s="20">
        <f>SUM(C4:L4)</f>
        <v>727</v>
      </c>
    </row>
    <row r="5" spans="1:15" s="15" customFormat="1" ht="15.6" x14ac:dyDescent="0.3">
      <c r="A5" s="20">
        <v>2</v>
      </c>
      <c r="B5" s="20">
        <v>151</v>
      </c>
      <c r="C5" s="20">
        <v>474</v>
      </c>
      <c r="D5" s="20">
        <v>140</v>
      </c>
      <c r="E5" s="20">
        <v>22</v>
      </c>
      <c r="F5" s="20">
        <v>0</v>
      </c>
      <c r="G5" s="20">
        <v>37</v>
      </c>
      <c r="H5" s="20">
        <v>0</v>
      </c>
      <c r="I5" s="20">
        <v>2</v>
      </c>
      <c r="J5" s="20">
        <v>0</v>
      </c>
      <c r="K5" s="20">
        <v>1</v>
      </c>
      <c r="L5" s="20">
        <v>1</v>
      </c>
      <c r="M5" s="20">
        <f>SUM(C5:L5)</f>
        <v>677</v>
      </c>
    </row>
    <row r="6" spans="1:15" s="15" customFormat="1" ht="15.6" x14ac:dyDescent="0.3">
      <c r="A6" s="20">
        <v>3</v>
      </c>
      <c r="B6" s="20">
        <v>152</v>
      </c>
      <c r="C6" s="20">
        <v>338</v>
      </c>
      <c r="D6" s="20">
        <v>69</v>
      </c>
      <c r="E6" s="20">
        <v>7</v>
      </c>
      <c r="F6" s="20">
        <v>2</v>
      </c>
      <c r="G6" s="20">
        <v>319</v>
      </c>
      <c r="H6" s="20">
        <v>0</v>
      </c>
      <c r="I6" s="20">
        <v>6</v>
      </c>
      <c r="J6" s="20">
        <v>105</v>
      </c>
      <c r="K6" s="20">
        <v>5</v>
      </c>
      <c r="L6" s="20">
        <v>3</v>
      </c>
      <c r="M6" s="20">
        <f t="shared" ref="M6:M9" si="0">SUM(C6:L6)</f>
        <v>854</v>
      </c>
    </row>
    <row r="7" spans="1:15" s="15" customFormat="1" ht="15.6" x14ac:dyDescent="0.3">
      <c r="A7" s="20">
        <v>4</v>
      </c>
      <c r="B7" s="20">
        <v>153</v>
      </c>
      <c r="C7" s="20">
        <v>240</v>
      </c>
      <c r="D7" s="20">
        <v>27</v>
      </c>
      <c r="E7" s="20">
        <v>5</v>
      </c>
      <c r="F7" s="20">
        <v>0</v>
      </c>
      <c r="G7" s="20">
        <v>288</v>
      </c>
      <c r="H7" s="20">
        <v>10</v>
      </c>
      <c r="I7" s="20">
        <v>6</v>
      </c>
      <c r="J7" s="20">
        <v>15</v>
      </c>
      <c r="K7" s="20">
        <v>6</v>
      </c>
      <c r="L7" s="20">
        <v>1</v>
      </c>
      <c r="M7" s="20">
        <f t="shared" si="0"/>
        <v>598</v>
      </c>
    </row>
    <row r="8" spans="1:15" s="15" customFormat="1" ht="15.6" x14ac:dyDescent="0.3">
      <c r="A8" s="20">
        <v>5</v>
      </c>
      <c r="B8" s="20">
        <v>221</v>
      </c>
      <c r="C8" s="20">
        <v>339</v>
      </c>
      <c r="D8" s="20">
        <v>113</v>
      </c>
      <c r="E8" s="20">
        <v>33</v>
      </c>
      <c r="F8" s="20">
        <v>0</v>
      </c>
      <c r="G8" s="20">
        <v>283</v>
      </c>
      <c r="H8" s="20">
        <v>0</v>
      </c>
      <c r="I8" s="20">
        <v>0</v>
      </c>
      <c r="J8" s="20">
        <v>93</v>
      </c>
      <c r="K8" s="20"/>
      <c r="L8" s="20">
        <v>0</v>
      </c>
      <c r="M8" s="20">
        <f t="shared" si="0"/>
        <v>861</v>
      </c>
    </row>
    <row r="9" spans="1:15" s="15" customFormat="1" ht="15.6" x14ac:dyDescent="0.3">
      <c r="A9" s="20">
        <v>6</v>
      </c>
      <c r="B9" s="20">
        <v>230</v>
      </c>
      <c r="C9" s="20">
        <v>611</v>
      </c>
      <c r="D9" s="20">
        <v>113</v>
      </c>
      <c r="E9" s="20">
        <v>15</v>
      </c>
      <c r="F9" s="20">
        <v>0</v>
      </c>
      <c r="G9" s="20">
        <v>156</v>
      </c>
      <c r="H9" s="20">
        <v>54</v>
      </c>
      <c r="I9" s="20">
        <v>5</v>
      </c>
      <c r="J9" s="20">
        <v>54</v>
      </c>
      <c r="K9" s="20">
        <v>0</v>
      </c>
      <c r="L9" s="20">
        <v>0</v>
      </c>
      <c r="M9" s="20">
        <f t="shared" si="0"/>
        <v>1008</v>
      </c>
    </row>
    <row r="10" spans="1:15" x14ac:dyDescent="0.25">
      <c r="A10" s="1" t="s">
        <v>10</v>
      </c>
      <c r="B10" s="1"/>
      <c r="C10" s="6">
        <f>SUM(C4:C9)</f>
        <v>2458</v>
      </c>
      <c r="D10" s="6">
        <f>SUM(D4:F9)</f>
        <v>695</v>
      </c>
      <c r="E10" s="6">
        <f>SUM(F4:F9)</f>
        <v>2</v>
      </c>
      <c r="F10" s="6">
        <f>SUM(F4:F9)</f>
        <v>2</v>
      </c>
      <c r="G10" s="6">
        <f t="shared" ref="G10" si="1">SUM(G4:G9)</f>
        <v>1200</v>
      </c>
      <c r="H10" s="6">
        <f>SUM(H4:H9)</f>
        <v>64</v>
      </c>
      <c r="I10" s="6">
        <f>SUM(I4:I9)</f>
        <v>19</v>
      </c>
      <c r="J10" s="6">
        <f>SUM(J4:J9)</f>
        <v>267</v>
      </c>
      <c r="K10" s="6">
        <f>SUM(K4:K9)</f>
        <v>17</v>
      </c>
      <c r="L10" s="6">
        <f>SUM(L4:L9)</f>
        <v>5</v>
      </c>
      <c r="M10" s="6">
        <f>SUM(C10:L10)</f>
        <v>4729</v>
      </c>
    </row>
    <row r="12" spans="1:15" ht="26.4" customHeight="1" x14ac:dyDescent="0.25">
      <c r="A12" s="5" t="s">
        <v>13</v>
      </c>
      <c r="B12" s="6" t="s">
        <v>2</v>
      </c>
      <c r="C12" s="6" t="s">
        <v>7</v>
      </c>
      <c r="D12" s="6" t="s">
        <v>6</v>
      </c>
      <c r="E12" s="6" t="s">
        <v>10</v>
      </c>
    </row>
    <row r="13" spans="1:15" ht="16.8" customHeight="1" x14ac:dyDescent="0.25">
      <c r="A13" s="17">
        <v>6</v>
      </c>
      <c r="B13" s="17">
        <v>2458</v>
      </c>
      <c r="C13" s="17">
        <v>133</v>
      </c>
      <c r="D13" s="17">
        <v>1200</v>
      </c>
      <c r="E13" s="17">
        <f>SUM(B13:D13)</f>
        <v>3791</v>
      </c>
    </row>
    <row r="14" spans="1:15" x14ac:dyDescent="0.25">
      <c r="A14" s="14"/>
      <c r="B14" s="14"/>
      <c r="C14" s="14"/>
      <c r="D14" s="14"/>
      <c r="E14" s="14"/>
      <c r="F14" s="14"/>
      <c r="G14" s="14"/>
      <c r="H14" s="14"/>
    </row>
    <row r="15" spans="1:15" x14ac:dyDescent="0.25">
      <c r="A15" s="14"/>
      <c r="B15" s="14"/>
      <c r="C15" s="14"/>
      <c r="D15" s="14"/>
      <c r="E15" s="14"/>
      <c r="F15" s="14"/>
      <c r="G15" s="14"/>
      <c r="H15" s="14"/>
    </row>
    <row r="16" spans="1:15" x14ac:dyDescent="0.25">
      <c r="A16" s="14"/>
      <c r="B16" s="14"/>
      <c r="C16" s="14"/>
      <c r="D16" s="14"/>
      <c r="E16" s="14"/>
      <c r="F16" s="14"/>
      <c r="G16" s="14"/>
      <c r="H16" s="14"/>
    </row>
    <row r="20" spans="6:15" x14ac:dyDescent="0.25">
      <c r="F20" s="6"/>
    </row>
    <row r="24" spans="6:15" x14ac:dyDescent="0.25">
      <c r="O24" s="3">
        <v>1</v>
      </c>
    </row>
  </sheetData>
  <mergeCells count="4">
    <mergeCell ref="F1:J1"/>
    <mergeCell ref="A10:B10"/>
    <mergeCell ref="A1:C2"/>
    <mergeCell ref="D1:E2"/>
  </mergeCells>
  <pageMargins left="0.7" right="0.7" top="0.75" bottom="0.75" header="0.3" footer="0.3"/>
  <ignoredErrors>
    <ignoredError sqref="M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8A34-3A2F-4A0C-88C9-770E40B4F898}">
  <dimension ref="A1:K21"/>
  <sheetViews>
    <sheetView zoomScale="73" workbookViewId="0">
      <selection activeCell="J21" sqref="J21"/>
    </sheetView>
  </sheetViews>
  <sheetFormatPr defaultColWidth="15" defaultRowHeight="13.8" x14ac:dyDescent="0.25"/>
  <cols>
    <col min="1" max="1" width="7" style="3" customWidth="1"/>
    <col min="2" max="2" width="8.77734375" style="3" customWidth="1"/>
    <col min="3" max="3" width="15" style="7"/>
    <col min="4" max="7" width="15" style="3"/>
    <col min="8" max="8" width="15" style="3" customWidth="1"/>
    <col min="9" max="16384" width="15" style="3"/>
  </cols>
  <sheetData>
    <row r="1" spans="1:11" ht="14.4" customHeight="1" x14ac:dyDescent="0.25">
      <c r="A1" s="4" t="s">
        <v>15</v>
      </c>
      <c r="B1" s="4"/>
      <c r="C1" s="2" t="s">
        <v>16</v>
      </c>
      <c r="D1" s="2" t="s">
        <v>18</v>
      </c>
      <c r="E1" s="2"/>
      <c r="F1" s="2" t="s">
        <v>19</v>
      </c>
      <c r="G1" s="2"/>
      <c r="H1" s="2"/>
      <c r="I1" s="1" t="s">
        <v>26</v>
      </c>
      <c r="J1" s="1"/>
    </row>
    <row r="2" spans="1:11" x14ac:dyDescent="0.25">
      <c r="A2" s="4"/>
      <c r="B2" s="4"/>
      <c r="C2" s="2"/>
      <c r="D2" s="2"/>
      <c r="E2" s="2"/>
      <c r="F2" s="2"/>
      <c r="G2" s="2"/>
      <c r="H2" s="2"/>
      <c r="I2" s="1"/>
      <c r="J2" s="1"/>
    </row>
    <row r="3" spans="1:11" ht="27.6" x14ac:dyDescent="0.25">
      <c r="A3" s="6" t="s">
        <v>20</v>
      </c>
      <c r="B3" s="5" t="s">
        <v>1</v>
      </c>
      <c r="C3" s="5" t="s">
        <v>21</v>
      </c>
      <c r="D3" s="5" t="s">
        <v>22</v>
      </c>
      <c r="E3" s="6" t="s">
        <v>2</v>
      </c>
      <c r="F3" s="6" t="s">
        <v>3</v>
      </c>
      <c r="G3" s="6" t="s">
        <v>23</v>
      </c>
      <c r="H3" s="6" t="s">
        <v>4</v>
      </c>
      <c r="I3" s="6" t="s">
        <v>24</v>
      </c>
      <c r="J3" s="6" t="s">
        <v>25</v>
      </c>
    </row>
    <row r="4" spans="1:11" ht="15.6" x14ac:dyDescent="0.3">
      <c r="A4" s="18">
        <v>1</v>
      </c>
      <c r="B4" s="18">
        <v>131</v>
      </c>
      <c r="C4" s="19">
        <v>687</v>
      </c>
      <c r="D4" s="18">
        <v>413</v>
      </c>
      <c r="E4" s="18">
        <v>90</v>
      </c>
      <c r="F4" s="18">
        <v>207</v>
      </c>
      <c r="G4" s="18">
        <v>90</v>
      </c>
      <c r="H4" s="18">
        <v>16</v>
      </c>
      <c r="I4" s="18">
        <v>7</v>
      </c>
      <c r="J4" s="18">
        <v>3</v>
      </c>
    </row>
    <row r="5" spans="1:11" ht="15.6" x14ac:dyDescent="0.3">
      <c r="A5" s="18">
        <v>2</v>
      </c>
      <c r="B5" s="18">
        <v>132</v>
      </c>
      <c r="C5" s="19">
        <v>863</v>
      </c>
      <c r="D5" s="18">
        <v>538</v>
      </c>
      <c r="E5" s="18">
        <v>110</v>
      </c>
      <c r="F5" s="18">
        <v>271</v>
      </c>
      <c r="G5" s="18">
        <v>109</v>
      </c>
      <c r="H5" s="18">
        <v>34</v>
      </c>
      <c r="I5" s="18">
        <v>9</v>
      </c>
      <c r="J5" s="18">
        <v>5</v>
      </c>
    </row>
    <row r="6" spans="1:11" ht="15.6" x14ac:dyDescent="0.3">
      <c r="A6" s="18">
        <v>3</v>
      </c>
      <c r="B6" s="18">
        <v>133</v>
      </c>
      <c r="C6" s="19">
        <v>709</v>
      </c>
      <c r="D6" s="18">
        <v>420</v>
      </c>
      <c r="E6" s="18">
        <v>76</v>
      </c>
      <c r="F6" s="18">
        <v>221</v>
      </c>
      <c r="G6" s="18">
        <v>92</v>
      </c>
      <c r="H6" s="18">
        <v>17</v>
      </c>
      <c r="I6" s="18">
        <v>9</v>
      </c>
      <c r="J6" s="18">
        <v>5</v>
      </c>
    </row>
    <row r="7" spans="1:11" ht="15.6" x14ac:dyDescent="0.3">
      <c r="A7" s="18">
        <v>4</v>
      </c>
      <c r="B7" s="18">
        <v>134</v>
      </c>
      <c r="C7" s="19">
        <v>726</v>
      </c>
      <c r="D7" s="18">
        <v>447</v>
      </c>
      <c r="E7" s="18">
        <v>107</v>
      </c>
      <c r="F7" s="18">
        <v>170</v>
      </c>
      <c r="G7" s="18">
        <v>140</v>
      </c>
      <c r="H7" s="18">
        <v>23</v>
      </c>
      <c r="I7" s="18">
        <v>2</v>
      </c>
      <c r="J7" s="18">
        <v>5</v>
      </c>
    </row>
    <row r="8" spans="1:11" ht="15.6" x14ac:dyDescent="0.3">
      <c r="A8" s="18">
        <v>5</v>
      </c>
      <c r="B8" s="18">
        <v>190</v>
      </c>
      <c r="C8" s="19">
        <v>1435</v>
      </c>
      <c r="D8" s="18">
        <v>899</v>
      </c>
      <c r="E8" s="18">
        <v>218</v>
      </c>
      <c r="F8" s="18">
        <v>377</v>
      </c>
      <c r="G8" s="18">
        <v>225</v>
      </c>
      <c r="H8" s="18">
        <v>52</v>
      </c>
      <c r="I8" s="18">
        <v>13</v>
      </c>
      <c r="J8" s="18">
        <v>14</v>
      </c>
    </row>
    <row r="9" spans="1:11" ht="15.6" x14ac:dyDescent="0.3">
      <c r="A9" s="18">
        <v>6</v>
      </c>
      <c r="B9" s="18">
        <v>199</v>
      </c>
      <c r="C9" s="19">
        <v>1176</v>
      </c>
      <c r="D9" s="18">
        <v>767</v>
      </c>
      <c r="E9" s="18">
        <v>106</v>
      </c>
      <c r="F9" s="18">
        <v>489</v>
      </c>
      <c r="G9" s="18">
        <v>129</v>
      </c>
      <c r="H9" s="18">
        <v>27</v>
      </c>
      <c r="I9" s="18">
        <v>9</v>
      </c>
      <c r="J9" s="18">
        <v>7</v>
      </c>
    </row>
    <row r="10" spans="1:11" x14ac:dyDescent="0.25">
      <c r="A10" s="9" t="s">
        <v>10</v>
      </c>
      <c r="B10" s="10"/>
      <c r="C10" s="11"/>
      <c r="D10" s="6">
        <f>SUM(D4:D9)</f>
        <v>3484</v>
      </c>
      <c r="E10" s="6">
        <f t="shared" ref="E10:J10" si="0">SUM(E4:E9)</f>
        <v>707</v>
      </c>
      <c r="F10" s="6">
        <f t="shared" si="0"/>
        <v>1735</v>
      </c>
      <c r="G10" s="6">
        <f t="shared" si="0"/>
        <v>785</v>
      </c>
      <c r="H10" s="6">
        <f t="shared" si="0"/>
        <v>169</v>
      </c>
      <c r="I10" s="6">
        <f t="shared" si="0"/>
        <v>49</v>
      </c>
      <c r="J10" s="6">
        <f t="shared" si="0"/>
        <v>39</v>
      </c>
    </row>
    <row r="12" spans="1:11" x14ac:dyDescent="0.25">
      <c r="A12" s="1" t="s">
        <v>27</v>
      </c>
      <c r="B12" s="1"/>
      <c r="C12" s="2" t="s">
        <v>11</v>
      </c>
      <c r="D12" s="1" t="s">
        <v>18</v>
      </c>
      <c r="E12" s="1"/>
      <c r="F12" s="1" t="s">
        <v>19</v>
      </c>
      <c r="G12" s="1"/>
      <c r="H12" s="1"/>
      <c r="I12" s="1" t="s">
        <v>30</v>
      </c>
      <c r="J12" s="16"/>
      <c r="K12" s="16"/>
    </row>
    <row r="13" spans="1:11" x14ac:dyDescent="0.25">
      <c r="A13" s="1"/>
      <c r="B13" s="1"/>
      <c r="C13" s="2"/>
      <c r="D13" s="1"/>
      <c r="E13" s="1"/>
      <c r="F13" s="1"/>
      <c r="G13" s="1"/>
      <c r="H13" s="1"/>
      <c r="I13" s="1"/>
      <c r="J13" s="16"/>
      <c r="K13" s="16"/>
    </row>
    <row r="14" spans="1:11" ht="28.2" customHeight="1" x14ac:dyDescent="0.25">
      <c r="A14" s="6" t="s">
        <v>20</v>
      </c>
      <c r="B14" s="5" t="s">
        <v>1</v>
      </c>
      <c r="C14" s="5" t="s">
        <v>21</v>
      </c>
      <c r="D14" s="5" t="s">
        <v>22</v>
      </c>
      <c r="E14" s="6" t="s">
        <v>2</v>
      </c>
      <c r="F14" s="6" t="s">
        <v>3</v>
      </c>
      <c r="G14" s="6" t="s">
        <v>4</v>
      </c>
      <c r="H14" s="6" t="s">
        <v>24</v>
      </c>
      <c r="I14" s="6" t="s">
        <v>25</v>
      </c>
    </row>
    <row r="15" spans="1:11" ht="15.6" x14ac:dyDescent="0.3">
      <c r="A15" s="18">
        <v>1</v>
      </c>
      <c r="B15" s="18">
        <v>131</v>
      </c>
      <c r="C15" s="19"/>
      <c r="D15" s="18">
        <f>SUM(E15:I15)</f>
        <v>568</v>
      </c>
      <c r="E15" s="18">
        <v>243</v>
      </c>
      <c r="F15" s="18">
        <v>250</v>
      </c>
      <c r="G15" s="18">
        <v>31</v>
      </c>
      <c r="H15" s="18">
        <v>5</v>
      </c>
      <c r="I15" s="18">
        <v>39</v>
      </c>
    </row>
    <row r="16" spans="1:11" ht="15.6" x14ac:dyDescent="0.3">
      <c r="A16" s="18">
        <v>2</v>
      </c>
      <c r="B16" s="18">
        <v>132</v>
      </c>
      <c r="C16" s="19"/>
      <c r="D16" s="18">
        <f t="shared" ref="D16:D20" si="1">SUM(E16:I16)</f>
        <v>440</v>
      </c>
      <c r="E16" s="18">
        <v>179</v>
      </c>
      <c r="F16" s="18">
        <v>209</v>
      </c>
      <c r="G16" s="18">
        <v>16</v>
      </c>
      <c r="H16" s="18">
        <v>4</v>
      </c>
      <c r="I16" s="18">
        <v>32</v>
      </c>
    </row>
    <row r="17" spans="1:9" ht="15.6" x14ac:dyDescent="0.3">
      <c r="A17" s="18">
        <v>3</v>
      </c>
      <c r="B17" s="18">
        <v>133</v>
      </c>
      <c r="C17" s="19"/>
      <c r="D17" s="18">
        <f t="shared" si="1"/>
        <v>477</v>
      </c>
      <c r="E17" s="18">
        <v>281</v>
      </c>
      <c r="F17" s="18">
        <v>147</v>
      </c>
      <c r="G17" s="18">
        <v>16</v>
      </c>
      <c r="H17" s="18">
        <v>0</v>
      </c>
      <c r="I17" s="18">
        <v>33</v>
      </c>
    </row>
    <row r="18" spans="1:9" ht="15.6" x14ac:dyDescent="0.3">
      <c r="A18" s="18">
        <v>4</v>
      </c>
      <c r="B18" s="18">
        <v>134</v>
      </c>
      <c r="C18" s="19"/>
      <c r="D18" s="18">
        <f t="shared" si="1"/>
        <v>412</v>
      </c>
      <c r="E18" s="18">
        <v>226</v>
      </c>
      <c r="F18" s="18">
        <v>147</v>
      </c>
      <c r="G18" s="18">
        <v>19</v>
      </c>
      <c r="H18" s="18">
        <v>1</v>
      </c>
      <c r="I18" s="18">
        <v>19</v>
      </c>
    </row>
    <row r="19" spans="1:9" ht="15.6" x14ac:dyDescent="0.3">
      <c r="A19" s="18">
        <v>5</v>
      </c>
      <c r="B19" s="18">
        <v>187</v>
      </c>
      <c r="C19" s="19"/>
      <c r="D19" s="18">
        <f t="shared" si="1"/>
        <v>887</v>
      </c>
      <c r="E19" s="18">
        <v>431</v>
      </c>
      <c r="F19" s="18">
        <v>259</v>
      </c>
      <c r="G19" s="18">
        <v>56</v>
      </c>
      <c r="H19" s="18">
        <v>10</v>
      </c>
      <c r="I19" s="18">
        <v>131</v>
      </c>
    </row>
    <row r="20" spans="1:9" ht="15.6" x14ac:dyDescent="0.3">
      <c r="A20" s="18">
        <v>6</v>
      </c>
      <c r="B20" s="18">
        <v>196</v>
      </c>
      <c r="C20" s="19"/>
      <c r="D20" s="18">
        <f t="shared" si="1"/>
        <v>721</v>
      </c>
      <c r="E20" s="18">
        <v>373</v>
      </c>
      <c r="F20" s="18">
        <v>183</v>
      </c>
      <c r="G20" s="18">
        <v>31</v>
      </c>
      <c r="H20" s="18">
        <v>4</v>
      </c>
      <c r="I20" s="18">
        <v>130</v>
      </c>
    </row>
    <row r="21" spans="1:9" x14ac:dyDescent="0.25">
      <c r="A21" s="6"/>
      <c r="B21" s="8" t="s">
        <v>10</v>
      </c>
      <c r="C21" s="8"/>
      <c r="D21" s="6">
        <f>SUM(D15:D20)</f>
        <v>3505</v>
      </c>
      <c r="E21" s="6">
        <f t="shared" ref="E21:I21" si="2">SUM(E15:E20)</f>
        <v>1733</v>
      </c>
      <c r="F21" s="6">
        <f t="shared" si="2"/>
        <v>1195</v>
      </c>
      <c r="G21" s="6">
        <f t="shared" si="2"/>
        <v>169</v>
      </c>
      <c r="H21" s="6">
        <f t="shared" si="2"/>
        <v>24</v>
      </c>
      <c r="I21" s="6">
        <f t="shared" si="2"/>
        <v>384</v>
      </c>
    </row>
  </sheetData>
  <mergeCells count="11">
    <mergeCell ref="A10:C10"/>
    <mergeCell ref="I1:J2"/>
    <mergeCell ref="F1:H2"/>
    <mergeCell ref="A12:B13"/>
    <mergeCell ref="C12:C13"/>
    <mergeCell ref="D12:E13"/>
    <mergeCell ref="F12:H13"/>
    <mergeCell ref="I12:I13"/>
    <mergeCell ref="C1:C2"/>
    <mergeCell ref="D1:E2"/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raj</dc:creator>
  <cp:lastModifiedBy>hari raj</cp:lastModifiedBy>
  <dcterms:created xsi:type="dcterms:W3CDTF">2026-04-14T12:35:47Z</dcterms:created>
  <dcterms:modified xsi:type="dcterms:W3CDTF">2026-04-15T15:02:58Z</dcterms:modified>
</cp:coreProperties>
</file>